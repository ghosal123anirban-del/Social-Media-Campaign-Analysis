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gram Weekly" sheetId="1" state="visible" r:id="rId3"/>
    <sheet name="LinkedIn Weekly" sheetId="2" state="visible" r:id="rId4"/>
    <sheet name="Organic vs Paid" sheetId="3" state="visible" r:id="rId5"/>
    <sheet name="KPI Tracker" sheetId="4" state="visible" r:id="rId6"/>
    <sheet name="Top Conte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<sst xmlns="http://schemas.openxmlformats.org/spreadsheetml/2006/main" count="100" uniqueCount="68">
  <si>
    <t xml:space="preserve">FreshBrew Coffee Co. – Instagram Campaign Data (April 2026)</t>
  </si>
  <si>
    <t xml:space="preserve">Campaign: Brew Your Day – Spring 2026</t>
  </si>
  <si>
    <t xml:space="preserve">Week</t>
  </si>
  <si>
    <t xml:space="preserve">Dates</t>
  </si>
  <si>
    <t xml:space="preserve">Reach</t>
  </si>
  <si>
    <t xml:space="preserve">Impressions</t>
  </si>
  <si>
    <t xml:space="preserve">Engagement</t>
  </si>
  <si>
    <t xml:space="preserve">Profile Visits</t>
  </si>
  <si>
    <t xml:space="preserve">Website Clicks</t>
  </si>
  <si>
    <t xml:space="preserve">Eng. Rate (%)</t>
  </si>
  <si>
    <t xml:space="preserve">Week 1</t>
  </si>
  <si>
    <t xml:space="preserve">Apr 1–7</t>
  </si>
  <si>
    <t xml:space="preserve">Week 2</t>
  </si>
  <si>
    <t xml:space="preserve">Apr 8–14</t>
  </si>
  <si>
    <t xml:space="preserve">Week 3</t>
  </si>
  <si>
    <t xml:space="preserve">Apr 15–21</t>
  </si>
  <si>
    <t xml:space="preserve">Week 4</t>
  </si>
  <si>
    <t xml:space="preserve">Apr 22–30</t>
  </si>
  <si>
    <t xml:space="preserve">TOTAL</t>
  </si>
  <si>
    <t xml:space="preserve">Apr 1–30</t>
  </si>
  <si>
    <t xml:space="preserve">FreshBrew Coffee Co. – LinkedIn Campaign Data (April 2026)</t>
  </si>
  <si>
    <t xml:space="preserve">Campaign: Brew Your Day – Spring 2026 (Organic Only)</t>
  </si>
  <si>
    <t xml:space="preserve">Clicks</t>
  </si>
  <si>
    <t xml:space="preserve">Reactions</t>
  </si>
  <si>
    <t xml:space="preserve">Comments</t>
  </si>
  <si>
    <t xml:space="preserve">Shares</t>
  </si>
  <si>
    <t xml:space="preserve">Instagram – Organic vs. Paid Traffic Comparison</t>
  </si>
  <si>
    <t xml:space="preserve">Metric</t>
  </si>
  <si>
    <t xml:space="preserve">Organic</t>
  </si>
  <si>
    <t xml:space="preserve">Paid (Ads)</t>
  </si>
  <si>
    <t xml:space="preserve">Total</t>
  </si>
  <si>
    <t xml:space="preserve">Paid Share (%)</t>
  </si>
  <si>
    <t xml:space="preserve">Ad Spend (INR)</t>
  </si>
  <si>
    <t xml:space="preserve">Campaign KPI Tracker – FreshBrew Coffee Co.</t>
  </si>
  <si>
    <t xml:space="preserve">KPI</t>
  </si>
  <si>
    <t xml:space="preserve">Platform</t>
  </si>
  <si>
    <t xml:space="preserve">Target</t>
  </si>
  <si>
    <t xml:space="preserve">Achieved</t>
  </si>
  <si>
    <t xml:space="preserve">Variance</t>
  </si>
  <si>
    <t xml:space="preserve">Status</t>
  </si>
  <si>
    <t xml:space="preserve">Total Reach</t>
  </si>
  <si>
    <t xml:space="preserve">Instagram</t>
  </si>
  <si>
    <t xml:space="preserve">✅ Exceeded</t>
  </si>
  <si>
    <t xml:space="preserve">Engagement Rate (%)</t>
  </si>
  <si>
    <t xml:space="preserve">LinkedIn Impressions</t>
  </si>
  <si>
    <t xml:space="preserve">LinkedIn</t>
  </si>
  <si>
    <t xml:space="preserve">Website Traffic</t>
  </si>
  <si>
    <t xml:space="preserve">Both</t>
  </si>
  <si>
    <t xml:space="preserve">Cost Per Click (INR)</t>
  </si>
  <si>
    <t xml:space="preserve">✅ Met</t>
  </si>
  <si>
    <t xml:space="preserve">New Followers</t>
  </si>
  <si>
    <t xml:space="preserve">⚠️ Near Target</t>
  </si>
  <si>
    <t xml:space="preserve">ROI (%)</t>
  </si>
  <si>
    <t xml:space="preserve">Paid Ads</t>
  </si>
  <si>
    <t xml:space="preserve">Top Performing Content – April 2026 Campaign</t>
  </si>
  <si>
    <t xml:space="preserve">Rank</t>
  </si>
  <si>
    <t xml:space="preserve">Post Description</t>
  </si>
  <si>
    <t xml:space="preserve">Content Type</t>
  </si>
  <si>
    <t xml:space="preserve">Morning Ritual – Barista Routine Reel</t>
  </si>
  <si>
    <t xml:space="preserve">Organic Video</t>
  </si>
  <si>
    <t xml:space="preserve">5 Coffee Myths Debunked – Carousel</t>
  </si>
  <si>
    <t xml:space="preserve">Organic Carousel</t>
  </si>
  <si>
    <t xml:space="preserve">Spring Launch Promo 20% Off</t>
  </si>
  <si>
    <t xml:space="preserve">Paid Image Ad</t>
  </si>
  <si>
    <t xml:space="preserve">The Art of Slow Coffee – LinkedIn Article</t>
  </si>
  <si>
    <t xml:space="preserve">Organic Article</t>
  </si>
  <si>
    <t xml:space="preserve">Behind the Beans – Supplier Story</t>
  </si>
  <si>
    <t xml:space="preserve">Organic Post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</si>
</sst>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FFFFFF"/>
      </patternFill>
    </fill>
    <fill>
      <patternFill patternType="solid">
        <fgColor rgb="FFD5E8F0"/>
        <bgColor rgb="FFCC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4200</v>
      </c>
      <c r="D5" s="5" t="n">
        <v>7800</v>
      </c>
      <c r="E5" s="5" t="n">
        <v>320</v>
      </c>
      <c r="F5" s="5" t="n">
        <v>180</v>
      </c>
      <c r="G5" s="5" t="n">
        <v>95</v>
      </c>
      <c r="H5" s="6" t="n">
        <f aca="false">E5/C5*100</f>
        <v>7.61904761904762</v>
      </c>
    </row>
    <row r="6" customFormat="false" ht="15" hidden="false" customHeight="false" outlineLevel="0" collapsed="false">
      <c r="A6" s="7" t="s">
        <v>12</v>
      </c>
      <c r="B6" s="7" t="s">
        <v>13</v>
      </c>
      <c r="C6" s="8" t="n">
        <v>6500</v>
      </c>
      <c r="D6" s="8" t="n">
        <v>11200</v>
      </c>
      <c r="E6" s="8" t="n">
        <v>510</v>
      </c>
      <c r="F6" s="8" t="n">
        <v>260</v>
      </c>
      <c r="G6" s="8" t="n">
        <v>152</v>
      </c>
      <c r="H6" s="9" t="n">
        <f aca="false">E6/C6*100</f>
        <v>7.84615384615385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v>9100</v>
      </c>
      <c r="D7" s="5" t="n">
        <v>15600</v>
      </c>
      <c r="E7" s="5" t="n">
        <v>730</v>
      </c>
      <c r="F7" s="5" t="n">
        <v>390</v>
      </c>
      <c r="G7" s="5" t="n">
        <v>231</v>
      </c>
      <c r="H7" s="6" t="n">
        <f aca="false">E7/C7*100</f>
        <v>8.02197802197802</v>
      </c>
    </row>
    <row r="8" customFormat="false" ht="15" hidden="false" customHeight="false" outlineLevel="0" collapsed="false">
      <c r="A8" s="7" t="s">
        <v>16</v>
      </c>
      <c r="B8" s="7" t="s">
        <v>17</v>
      </c>
      <c r="C8" s="8" t="n">
        <v>12400</v>
      </c>
      <c r="D8" s="8" t="n">
        <v>20300</v>
      </c>
      <c r="E8" s="8" t="n">
        <v>960</v>
      </c>
      <c r="F8" s="8" t="n">
        <v>520</v>
      </c>
      <c r="G8" s="8" t="n">
        <v>318</v>
      </c>
      <c r="H8" s="9" t="n">
        <f aca="false">E8/C8*100</f>
        <v>7.74193548387097</v>
      </c>
    </row>
    <row r="9" customFormat="false" ht="15" hidden="false" customHeight="false" outlineLevel="0" collapsed="false">
      <c r="A9" s="10" t="s">
        <v>18</v>
      </c>
      <c r="B9" s="10" t="s">
        <v>19</v>
      </c>
      <c r="C9" s="10" t="n">
        <f aca="false">SUM(C5:C8)</f>
        <v>32200</v>
      </c>
      <c r="D9" s="10" t="n">
        <f aca="false">SUM(D5:D8)</f>
        <v>54900</v>
      </c>
      <c r="E9" s="10" t="n">
        <f aca="false">SUM(E5:E8)</f>
        <v>2520</v>
      </c>
      <c r="F9" s="10" t="n">
        <f aca="false">SUM(F5:F8)</f>
        <v>1350</v>
      </c>
      <c r="G9" s="10" t="n">
        <f aca="false">SUM(G5:G8)</f>
        <v>796</v>
      </c>
      <c r="H9" s="11" t="n">
        <f aca="false">E9/C9*100</f>
        <v>7.82608695652174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7" min="4" style="0" width="12"/>
  </cols>
  <sheetData>
    <row r="1" customFormat="false" ht="30" hidden="false" customHeight="true" outlineLevel="0" collapsed="false">
      <c r="A1" s="12" t="s">
        <v>20</v>
      </c>
      <c r="B1" s="12"/>
      <c r="C1" s="12"/>
      <c r="D1" s="12"/>
      <c r="E1" s="12"/>
      <c r="F1" s="12"/>
      <c r="G1" s="12"/>
    </row>
    <row r="2" customFormat="false" ht="1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3" t="s">
        <v>2</v>
      </c>
      <c r="B4" s="13" t="s">
        <v>3</v>
      </c>
      <c r="C4" s="13" t="s">
        <v>5</v>
      </c>
      <c r="D4" s="13" t="s">
        <v>22</v>
      </c>
      <c r="E4" s="13" t="s">
        <v>23</v>
      </c>
      <c r="F4" s="13" t="s">
        <v>24</v>
      </c>
      <c r="G4" s="13" t="s">
        <v>25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1800</v>
      </c>
      <c r="D5" s="5" t="n">
        <v>95</v>
      </c>
      <c r="E5" s="5" t="n">
        <v>42</v>
      </c>
      <c r="F5" s="5" t="n">
        <v>12</v>
      </c>
      <c r="G5" s="5" t="n">
        <v>8</v>
      </c>
    </row>
    <row r="6" customFormat="false" ht="15" hidden="false" customHeight="false" outlineLevel="0" collapsed="false">
      <c r="A6" s="7" t="s">
        <v>12</v>
      </c>
      <c r="B6" s="7" t="s">
        <v>13</v>
      </c>
      <c r="C6" s="8" t="n">
        <v>2600</v>
      </c>
      <c r="D6" s="8" t="n">
        <v>148</v>
      </c>
      <c r="E6" s="8" t="n">
        <v>67</v>
      </c>
      <c r="F6" s="8" t="n">
        <v>18</v>
      </c>
      <c r="G6" s="8" t="n">
        <v>15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v>3400</v>
      </c>
      <c r="D7" s="5" t="n">
        <v>210</v>
      </c>
      <c r="E7" s="5" t="n">
        <v>88</v>
      </c>
      <c r="F7" s="5" t="n">
        <v>24</v>
      </c>
      <c r="G7" s="5" t="n">
        <v>22</v>
      </c>
    </row>
    <row r="8" customFormat="false" ht="15" hidden="false" customHeight="false" outlineLevel="0" collapsed="false">
      <c r="A8" s="7" t="s">
        <v>16</v>
      </c>
      <c r="B8" s="7" t="s">
        <v>17</v>
      </c>
      <c r="C8" s="8" t="n">
        <v>4200</v>
      </c>
      <c r="D8" s="8" t="n">
        <v>287</v>
      </c>
      <c r="E8" s="8" t="n">
        <v>115</v>
      </c>
      <c r="F8" s="8" t="n">
        <v>29</v>
      </c>
      <c r="G8" s="8" t="n">
        <v>31</v>
      </c>
    </row>
    <row r="9" customFormat="false" ht="15" hidden="false" customHeight="false" outlineLevel="0" collapsed="false">
      <c r="A9" s="10" t="s">
        <v>18</v>
      </c>
      <c r="B9" s="10" t="s">
        <v>19</v>
      </c>
      <c r="C9" s="10" t="n">
        <f aca="false">SUM(C5:C8)</f>
        <v>12000</v>
      </c>
      <c r="D9" s="10" t="n">
        <f aca="false">SUM(D5:D8)</f>
        <v>740</v>
      </c>
      <c r="E9" s="10" t="n">
        <f aca="false">SUM(E5:E8)</f>
        <v>312</v>
      </c>
      <c r="F9" s="10" t="n">
        <f aca="false">SUM(F5:F8)</f>
        <v>83</v>
      </c>
      <c r="G9" s="10" t="n">
        <f aca="false">SUM(G5:G8)</f>
        <v>76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</row>
    <row r="4" customFormat="false" ht="15" hidden="false" customHeight="false" outlineLevel="0" collapsed="false">
      <c r="A4" s="7" t="s">
        <v>4</v>
      </c>
      <c r="B4" s="8" t="n">
        <v>14800</v>
      </c>
      <c r="C4" s="8" t="n">
        <v>17400</v>
      </c>
      <c r="D4" s="8" t="n">
        <f aca="false">B4+C4</f>
        <v>32200</v>
      </c>
      <c r="E4" s="14" t="n">
        <f aca="false">IF(D4=0,"-",C4/D4)</f>
        <v>0.540372670807453</v>
      </c>
    </row>
    <row r="5" customFormat="false" ht="15" hidden="false" customHeight="false" outlineLevel="0" collapsed="false">
      <c r="A5" s="4" t="s">
        <v>5</v>
      </c>
      <c r="B5" s="5" t="n">
        <v>23100</v>
      </c>
      <c r="C5" s="5" t="n">
        <v>31800</v>
      </c>
      <c r="D5" s="5" t="n">
        <f aca="false">B5+C5</f>
        <v>54900</v>
      </c>
      <c r="E5" s="15" t="n">
        <f aca="false">IF(D5=0,"-",C5/D5)</f>
        <v>0.579234972677596</v>
      </c>
    </row>
    <row r="6" customFormat="false" ht="15" hidden="false" customHeight="false" outlineLevel="0" collapsed="false">
      <c r="A6" s="7" t="s">
        <v>6</v>
      </c>
      <c r="B6" s="8" t="n">
        <v>1420</v>
      </c>
      <c r="C6" s="8" t="n">
        <v>1100</v>
      </c>
      <c r="D6" s="8" t="n">
        <f aca="false">B6+C6</f>
        <v>2520</v>
      </c>
      <c r="E6" s="14" t="n">
        <f aca="false">IF(D6=0,"-",C6/D6)</f>
        <v>0.436507936507937</v>
      </c>
    </row>
    <row r="7" customFormat="false" ht="15" hidden="false" customHeight="false" outlineLevel="0" collapsed="false">
      <c r="A7" s="4" t="s">
        <v>8</v>
      </c>
      <c r="B7" s="5" t="n">
        <v>310</v>
      </c>
      <c r="C7" s="5" t="n">
        <v>580</v>
      </c>
      <c r="D7" s="5" t="n">
        <f aca="false">B7+C7</f>
        <v>890</v>
      </c>
      <c r="E7" s="15" t="n">
        <f aca="false">IF(D7=0,"-",C7/D7)</f>
        <v>0.651685393258427</v>
      </c>
    </row>
    <row r="8" customFormat="false" ht="15" hidden="false" customHeight="false" outlineLevel="0" collapsed="false">
      <c r="A8" s="7" t="s">
        <v>32</v>
      </c>
      <c r="B8" s="8" t="n">
        <v>0</v>
      </c>
      <c r="C8" s="8" t="n">
        <v>15000</v>
      </c>
      <c r="D8" s="8" t="n">
        <f aca="false">B8+C8</f>
        <v>15000</v>
      </c>
      <c r="E8" s="14" t="n">
        <f aca="false">IF(D8=0,"-",C8/D8)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33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</row>
    <row r="4" customFormat="false" ht="15" hidden="false" customHeight="false" outlineLevel="0" collapsed="false">
      <c r="A4" s="7" t="s">
        <v>40</v>
      </c>
      <c r="B4" s="7" t="s">
        <v>41</v>
      </c>
      <c r="C4" s="8" t="n">
        <v>20000</v>
      </c>
      <c r="D4" s="8" t="n">
        <v>32200</v>
      </c>
      <c r="E4" s="8" t="n">
        <f aca="false">D4-C4</f>
        <v>12200</v>
      </c>
      <c r="F4" s="7" t="s">
        <v>42</v>
      </c>
    </row>
    <row r="5" customFormat="false" ht="15" hidden="false" customHeight="false" outlineLevel="0" collapsed="false">
      <c r="A5" s="4" t="s">
        <v>43</v>
      </c>
      <c r="B5" s="4" t="s">
        <v>41</v>
      </c>
      <c r="C5" s="5" t="n">
        <v>5</v>
      </c>
      <c r="D5" s="5" t="n">
        <v>7.83</v>
      </c>
      <c r="E5" s="5" t="n">
        <f aca="false">D5-C5</f>
        <v>2.83</v>
      </c>
      <c r="F5" s="4" t="s">
        <v>42</v>
      </c>
    </row>
    <row r="6" customFormat="false" ht="15" hidden="false" customHeight="false" outlineLevel="0" collapsed="false">
      <c r="A6" s="7" t="s">
        <v>44</v>
      </c>
      <c r="B6" s="7" t="s">
        <v>45</v>
      </c>
      <c r="C6" s="8" t="n">
        <v>8000</v>
      </c>
      <c r="D6" s="8" t="n">
        <v>12000</v>
      </c>
      <c r="E6" s="8" t="n">
        <f aca="false">D6-C6</f>
        <v>4000</v>
      </c>
      <c r="F6" s="7" t="s">
        <v>42</v>
      </c>
    </row>
    <row r="7" customFormat="false" ht="15" hidden="false" customHeight="false" outlineLevel="0" collapsed="false">
      <c r="A7" s="4" t="s">
        <v>46</v>
      </c>
      <c r="B7" s="4" t="s">
        <v>47</v>
      </c>
      <c r="C7" s="5" t="n">
        <v>600</v>
      </c>
      <c r="D7" s="5" t="n">
        <v>1040</v>
      </c>
      <c r="E7" s="5" t="n">
        <f aca="false">D7-C7</f>
        <v>440</v>
      </c>
      <c r="F7" s="4" t="s">
        <v>42</v>
      </c>
    </row>
    <row r="8" customFormat="false" ht="15" hidden="false" customHeight="false" outlineLevel="0" collapsed="false">
      <c r="A8" s="7" t="s">
        <v>48</v>
      </c>
      <c r="B8" s="7" t="s">
        <v>41</v>
      </c>
      <c r="C8" s="8" t="n">
        <v>40</v>
      </c>
      <c r="D8" s="8" t="n">
        <v>25.86</v>
      </c>
      <c r="E8" s="8" t="n">
        <f aca="false">D8-C8</f>
        <v>-14.14</v>
      </c>
      <c r="F8" s="7" t="s">
        <v>49</v>
      </c>
    </row>
    <row r="9" customFormat="false" ht="15" hidden="false" customHeight="false" outlineLevel="0" collapsed="false">
      <c r="A9" s="4" t="s">
        <v>50</v>
      </c>
      <c r="B9" s="4" t="s">
        <v>41</v>
      </c>
      <c r="C9" s="5" t="n">
        <v>300</v>
      </c>
      <c r="D9" s="5" t="n">
        <v>274</v>
      </c>
      <c r="E9" s="5" t="n">
        <f aca="false">D9-C9</f>
        <v>-26</v>
      </c>
      <c r="F9" s="4" t="s">
        <v>51</v>
      </c>
    </row>
    <row r="10" customFormat="false" ht="15" hidden="false" customHeight="false" outlineLevel="0" collapsed="false">
      <c r="A10" s="7" t="s">
        <v>52</v>
      </c>
      <c r="B10" s="7" t="s">
        <v>53</v>
      </c>
      <c r="C10" s="8" t="n">
        <v>100</v>
      </c>
      <c r="D10" s="8" t="n">
        <v>180</v>
      </c>
      <c r="E10" s="8" t="n">
        <f aca="false">D10-C10</f>
        <v>80</v>
      </c>
      <c r="F10" s="7" t="s">
        <v>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54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55</v>
      </c>
      <c r="B3" s="3" t="s">
        <v>56</v>
      </c>
      <c r="C3" s="3" t="s">
        <v>35</v>
      </c>
      <c r="D3" s="3" t="s">
        <v>6</v>
      </c>
      <c r="E3" s="3" t="s">
        <v>22</v>
      </c>
      <c r="F3" s="3" t="s">
        <v>57</v>
      </c>
    </row>
    <row r="4" customFormat="false" ht="15" hidden="false" customHeight="false" outlineLevel="0" collapsed="false">
      <c r="A4" s="8" t="n">
        <v>1</v>
      </c>
      <c r="B4" s="7" t="s">
        <v>58</v>
      </c>
      <c r="C4" s="8" t="s">
        <v>41</v>
      </c>
      <c r="D4" s="8" t="n">
        <v>461</v>
      </c>
      <c r="E4" s="8" t="n">
        <v>180</v>
      </c>
      <c r="F4" s="7" t="s">
        <v>59</v>
      </c>
    </row>
    <row r="5" customFormat="false" ht="15" hidden="false" customHeight="false" outlineLevel="0" collapsed="false">
      <c r="A5" s="5" t="n">
        <v>2</v>
      </c>
      <c r="B5" s="4" t="s">
        <v>60</v>
      </c>
      <c r="C5" s="5" t="s">
        <v>41</v>
      </c>
      <c r="D5" s="5" t="n">
        <v>401</v>
      </c>
      <c r="E5" s="5" t="n">
        <v>95</v>
      </c>
      <c r="F5" s="4" t="s">
        <v>61</v>
      </c>
    </row>
    <row r="6" customFormat="false" ht="15" hidden="false" customHeight="false" outlineLevel="0" collapsed="false">
      <c r="A6" s="8" t="n">
        <v>3</v>
      </c>
      <c r="B6" s="7" t="s">
        <v>62</v>
      </c>
      <c r="C6" s="8" t="s">
        <v>41</v>
      </c>
      <c r="D6" s="8" t="n">
        <v>580</v>
      </c>
      <c r="E6" s="8" t="n">
        <v>320</v>
      </c>
      <c r="F6" s="7" t="s">
        <v>63</v>
      </c>
    </row>
    <row r="7" customFormat="false" ht="15" hidden="false" customHeight="false" outlineLevel="0" collapsed="false">
      <c r="A7" s="5" t="n">
        <v>4</v>
      </c>
      <c r="B7" s="4" t="s">
        <v>64</v>
      </c>
      <c r="C7" s="5" t="s">
        <v>45</v>
      </c>
      <c r="D7" s="5" t="n">
        <v>146</v>
      </c>
      <c r="E7" s="5" t="n">
        <v>210</v>
      </c>
      <c r="F7" s="4" t="s">
        <v>65</v>
      </c>
    </row>
    <row r="8" customFormat="false" ht="15" hidden="false" customHeight="false" outlineLevel="0" collapsed="false">
      <c r="A8" s="8" t="n">
        <v>5</v>
      </c>
      <c r="B8" s="7" t="s">
        <v>66</v>
      </c>
      <c r="C8" s="8" t="s">
        <v>45</v>
      </c>
      <c r="D8" s="8" t="n">
        <v>110</v>
      </c>
      <c r="E8" s="8" t="n">
        <v>148</v>
      </c>
      <c r="F8" s="7" t="s">
        <v>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2026-04-03T06:59:56Z</dcterms:created>
  <dc:creator>openpyxl</dc:creator>
  <dc:description/>
  <dc:language>en-US</dc:language>
  <cp:lastModifiedBy/>
  <dcterms:modified xsi:type="dcterms:W3CDTF">2026-04-03T06:59:56Z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